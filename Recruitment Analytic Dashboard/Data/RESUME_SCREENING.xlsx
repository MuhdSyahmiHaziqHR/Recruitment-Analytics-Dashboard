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F6E153FD-5355-42FF-8A95-452ACDCBC5F4}" xr6:coauthVersionLast="47" xr6:coauthVersionMax="47" xr10:uidLastSave="{00000000-0000-0000-0000-000000000000}"/>
  <bookViews>
    <workbookView xWindow="-108" yWindow="-108" windowWidth="23256" windowHeight="12456" xr2:uid="{8244057F-09B4-4C5B-909A-6CF7DC88EE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2" i="1"/>
</calcChain>
</file>

<file path=xl/sharedStrings.xml><?xml version="1.0" encoding="utf-8"?>
<sst xmlns="http://schemas.openxmlformats.org/spreadsheetml/2006/main" count="133" uniqueCount="102">
  <si>
    <t>Candidate ID</t>
  </si>
  <si>
    <t>Name</t>
  </si>
  <si>
    <t>Degree</t>
  </si>
  <si>
    <t>CGPA</t>
  </si>
  <si>
    <t>Experience (Years)</t>
  </si>
  <si>
    <t>Excel Skill (1-5)</t>
  </si>
  <si>
    <t>Interview Score</t>
  </si>
  <si>
    <t>Total Score</t>
  </si>
  <si>
    <t>C001</t>
  </si>
  <si>
    <t>Ali</t>
  </si>
  <si>
    <t>HR</t>
  </si>
  <si>
    <t>C002</t>
  </si>
  <si>
    <t>Sarah</t>
  </si>
  <si>
    <t>Business</t>
  </si>
  <si>
    <t>C003</t>
  </si>
  <si>
    <t>Jason</t>
  </si>
  <si>
    <t>C004</t>
  </si>
  <si>
    <t>Priya</t>
  </si>
  <si>
    <t>Finance</t>
  </si>
  <si>
    <t>C005</t>
  </si>
  <si>
    <t>Aminah</t>
  </si>
  <si>
    <t>Marketing</t>
  </si>
  <si>
    <t>C006</t>
  </si>
  <si>
    <t>Chen</t>
  </si>
  <si>
    <t>C007</t>
  </si>
  <si>
    <t>David</t>
  </si>
  <si>
    <t>IT</t>
  </si>
  <si>
    <t>C008</t>
  </si>
  <si>
    <t>Fatima</t>
  </si>
  <si>
    <t>C009</t>
  </si>
  <si>
    <t>Ganesan</t>
  </si>
  <si>
    <t>C010</t>
  </si>
  <si>
    <t>Hannah</t>
  </si>
  <si>
    <t>C011</t>
  </si>
  <si>
    <t>Imran</t>
  </si>
  <si>
    <t>C012</t>
  </si>
  <si>
    <t>Jessica</t>
  </si>
  <si>
    <t>C013</t>
  </si>
  <si>
    <t>Kevin</t>
  </si>
  <si>
    <t>C014</t>
  </si>
  <si>
    <t>Lisa</t>
  </si>
  <si>
    <t>C015</t>
  </si>
  <si>
    <t>Muhammad</t>
  </si>
  <si>
    <t>C016</t>
  </si>
  <si>
    <t>Noor</t>
  </si>
  <si>
    <t>C017</t>
  </si>
  <si>
    <t>Omar</t>
  </si>
  <si>
    <t>C018</t>
  </si>
  <si>
    <t>Rachel</t>
  </si>
  <si>
    <t>C019</t>
  </si>
  <si>
    <t>Siti</t>
  </si>
  <si>
    <t>C020</t>
  </si>
  <si>
    <t>Tan</t>
  </si>
  <si>
    <t>C021</t>
  </si>
  <si>
    <t>Uma</t>
  </si>
  <si>
    <t>C022</t>
  </si>
  <si>
    <t>Victor</t>
  </si>
  <si>
    <t>C023</t>
  </si>
  <si>
    <t>Wendy</t>
  </si>
  <si>
    <t>C024</t>
  </si>
  <si>
    <t>Xavier</t>
  </si>
  <si>
    <t>C025</t>
  </si>
  <si>
    <t>Yasmin</t>
  </si>
  <si>
    <t>C026</t>
  </si>
  <si>
    <t>Zain</t>
  </si>
  <si>
    <t>C027</t>
  </si>
  <si>
    <t>Aisha</t>
  </si>
  <si>
    <t>C028</t>
  </si>
  <si>
    <t>Bryan</t>
  </si>
  <si>
    <t>C029</t>
  </si>
  <si>
    <t>Chloe</t>
  </si>
  <si>
    <t>C030</t>
  </si>
  <si>
    <t>Daniel</t>
  </si>
  <si>
    <t>C031</t>
  </si>
  <si>
    <t>Elena</t>
  </si>
  <si>
    <t>C032</t>
  </si>
  <si>
    <t>Farhan</t>
  </si>
  <si>
    <t>C033</t>
  </si>
  <si>
    <t>Grace</t>
  </si>
  <si>
    <t>C034</t>
  </si>
  <si>
    <t>Haris</t>
  </si>
  <si>
    <t>C035</t>
  </si>
  <si>
    <t>Irene</t>
  </si>
  <si>
    <t>Criteria</t>
  </si>
  <si>
    <t>Weight</t>
  </si>
  <si>
    <t>Experience</t>
  </si>
  <si>
    <t>Excel Skill</t>
  </si>
  <si>
    <t>Interview</t>
  </si>
  <si>
    <t>Experience Years</t>
  </si>
  <si>
    <t>Score</t>
  </si>
  <si>
    <t>4+</t>
  </si>
  <si>
    <t>CGPA %</t>
  </si>
  <si>
    <t>Experience %</t>
  </si>
  <si>
    <t>Excel Skill %</t>
  </si>
  <si>
    <t>Interview %</t>
  </si>
  <si>
    <t>Rank</t>
  </si>
  <si>
    <t>Status</t>
  </si>
  <si>
    <t>Recommedation</t>
  </si>
  <si>
    <t>Strength</t>
  </si>
  <si>
    <t>Risk</t>
  </si>
  <si>
    <t>Final Decision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</si>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</sst>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C2AB-E3EE-4678-8CCB-7310DB1DF4E6}">
  <dimension ref="A1:S36"/>
  <sheetViews>
    <sheetView tabSelected="1" zoomScale="55" zoomScaleNormal="55" workbookViewId="0">
      <selection activeCell="T20" sqref="T20"/>
    </sheetView>
  </sheetViews>
  <sheetFormatPr defaultRowHeight="14.4" x14ac:dyDescent="0.3"/>
  <cols>
    <col min="1" max="1" width="12.44140625" customWidth="1"/>
    <col min="2" max="2" width="12.33203125" customWidth="1"/>
    <col min="5" max="5" width="15.5546875" customWidth="1"/>
    <col min="6" max="6" width="15.21875" customWidth="1"/>
    <col min="7" max="7" width="14.77734375" customWidth="1"/>
    <col min="8" max="8" width="10" customWidth="1"/>
    <col min="10" max="10" width="12.6640625" customWidth="1"/>
    <col min="11" max="11" width="10.77734375" customWidth="1"/>
    <col min="12" max="12" width="10.44140625" customWidth="1"/>
    <col min="15" max="15" width="19.77734375" customWidth="1"/>
    <col min="16" max="16" width="27.109375" customWidth="1"/>
    <col min="17" max="17" width="13.33203125" customWidth="1"/>
    <col min="18" max="18" width="21.77734375" customWidth="1"/>
    <col min="19" max="19" width="118.8867187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91</v>
      </c>
      <c r="J1" s="3" t="s">
        <v>92</v>
      </c>
      <c r="K1" s="3" t="s">
        <v>93</v>
      </c>
      <c r="L1" s="3" t="s">
        <v>94</v>
      </c>
      <c r="M1" s="3" t="s">
        <v>95</v>
      </c>
      <c r="N1" s="3" t="s">
        <v>96</v>
      </c>
      <c r="O1" s="3" t="s">
        <v>97</v>
      </c>
      <c r="P1" s="3" t="s">
        <v>98</v>
      </c>
      <c r="Q1" s="3" t="s">
        <v>99</v>
      </c>
      <c r="R1" s="3" t="s">
        <v>100</v>
      </c>
      <c r="S1" s="3" t="s">
        <v>101</v>
      </c>
    </row>
    <row r="2" spans="1:19" x14ac:dyDescent="0.3">
      <c r="A2" s="3" t="s">
        <v>8</v>
      </c>
      <c r="B2" s="3" t="s">
        <v>9</v>
      </c>
      <c r="C2" s="3" t="s">
        <v>10</v>
      </c>
      <c r="D2" s="3">
        <v>3.8</v>
      </c>
      <c r="E2" s="3">
        <v>2</v>
      </c>
      <c r="F2" s="3">
        <v>5</v>
      </c>
      <c r="G2" s="3">
        <v>85</v>
      </c>
      <c r="H2" s="3">
        <f>(I2*20%)+(J2*30%)+(K2*20%)+(L2*30%)</f>
        <v>79.5</v>
      </c>
      <c r="I2" s="3">
        <f>(D2/4)*100</f>
        <v>95</v>
      </c>
      <c r="J2" s="3">
        <f>MIN((E2/4)*100,100)</f>
        <v>50</v>
      </c>
      <c r="K2" s="3">
        <f>(F2/5)*100</f>
        <v>100</v>
      </c>
      <c r="L2" s="3">
        <f>G2</f>
        <v>85</v>
      </c>
      <c r="M2" s="3">
        <f>RANK(H2,$H$2:$H$51,0)</f>
        <v>16</v>
      </c>
      <c r="N2" s="3" t="str">
        <f>IF(M2&lt;=5,"Shortlist",IF(M2&lt;=15,"Review","Reject"))</f>
        <v>Reject</v>
      </c>
      <c r="O2" s="3" t="str">
        <f>IF(H2&gt;=90,"Highly Recommended",IF(H2&gt;=80,"Potential Candidate","Not Suitable"))</f>
        <v>Not Suitable</v>
      </c>
      <c r="P2" s="3" t="str">
        <f>IF(F2&gt;=5,"Excellent Excel Skills",
IF(E2&gt;=5,"Highly Experienced",
IF(D2&gt;=3.7,"Excellent Academic Performance",
"Balanced Candidate")))</f>
        <v>Excellent Excel Skills</v>
      </c>
      <c r="Q2" s="3" t="str">
        <f>IF(E2=0,"No Experience",
IF(D2&lt;3,"Low CGPA",
IF(G2&lt;70,"Weak Interview",
"Low Risk")))</f>
        <v>Low Risk</v>
      </c>
      <c r="R2" s="3" t="str">
        <f>IF(AND(H2&gt;=90,Q2="Low Risk"),"Hire Immediately",
IF(AND(H2&gt;=80,Q2&lt;&gt;"Weak Interview"),"Proceed to Final Interview",
"Keep in Talent Pool"))</f>
        <v>Keep in Talent Pool</v>
      </c>
      <c r="S2" s="4" t="str">
        <f>"Candidate is "&amp;O2&amp;" with "&amp;P2&amp;". Risk assessment: "&amp;Q2&amp;". Recommendation: "&amp;R2</f>
        <v>Candidate is Not Suitable with Excellent Excel Skills. Risk assessment: Low Risk. Recommendation: Keep in Talent Pool</v>
      </c>
    </row>
    <row r="3" spans="1:19" x14ac:dyDescent="0.3">
      <c r="A3" s="3" t="s">
        <v>11</v>
      </c>
      <c r="B3" s="3" t="s">
        <v>12</v>
      </c>
      <c r="C3" s="3" t="s">
        <v>13</v>
      </c>
      <c r="D3" s="3">
        <v>3.4</v>
      </c>
      <c r="E3" s="3">
        <v>1</v>
      </c>
      <c r="F3" s="3">
        <v>4</v>
      </c>
      <c r="G3" s="3">
        <v>78</v>
      </c>
      <c r="H3" s="3">
        <f t="shared" ref="H3:H36" si="0">(I3*20%)+(J3*30%)+(K3*20%)+(L3*30%)</f>
        <v>63.9</v>
      </c>
      <c r="I3" s="3">
        <f t="shared" ref="I3:I36" si="1">(D3/4)*100</f>
        <v>85</v>
      </c>
      <c r="J3" s="3">
        <f t="shared" ref="J3:J36" si="2">MIN((E3/4)*100,100)</f>
        <v>25</v>
      </c>
      <c r="K3" s="3">
        <f t="shared" ref="K3:K36" si="3">(F3/5)*100</f>
        <v>80</v>
      </c>
      <c r="L3" s="3">
        <f t="shared" ref="L3:L36" si="4">G3</f>
        <v>78</v>
      </c>
      <c r="M3" s="3">
        <f t="shared" ref="M3:M36" si="5">RANK(H3,$H$2:$H$51,0)</f>
        <v>30</v>
      </c>
      <c r="N3" s="3" t="str">
        <f t="shared" ref="N3:N36" si="6">IF(M3&lt;=5,"Shortlist",IF(M3&lt;=15,"Review","Reject"))</f>
        <v>Reject</v>
      </c>
      <c r="O3" s="3" t="str">
        <f t="shared" ref="O3:O36" si="7">IF(H3&gt;=90,"Highly Recommended",IF(H3&gt;=80,"Potential Candidate","Not Suitable"))</f>
        <v>Not Suitable</v>
      </c>
      <c r="P3" s="3" t="str">
        <f t="shared" ref="P3:P36" si="8">IF(F3&gt;=5,"Excellent Excel Skills",
IF(E3&gt;=5,"Highly Experienced",
IF(D3&gt;=3.7,"Excellent Academic Performance",
"Balanced Candidate")))</f>
        <v>Balanced Candidate</v>
      </c>
      <c r="Q3" s="3" t="str">
        <f t="shared" ref="Q3:Q36" si="9">IF(E3=0,"No Experience",
IF(D3&lt;3,"Low CGPA",
IF(G3&lt;70,"Weak Interview",
"Low Risk")))</f>
        <v>Low Risk</v>
      </c>
      <c r="R3" s="3" t="str">
        <f t="shared" ref="R3:R36" si="10">IF(AND(H3&gt;=90,Q3="Low Risk"),"Hire Immediately",
IF(AND(H3&gt;=80,Q3&lt;&gt;"Weak Interview"),"Proceed to Final Interview",
"Keep in Talent Pool"))</f>
        <v>Keep in Talent Pool</v>
      </c>
      <c r="S3" s="4" t="str">
        <f t="shared" ref="S3:S36" si="11">"Candidate is "&amp;O3&amp;" with "&amp;P3&amp;". Risk assessment: "&amp;Q3&amp;". Recommendation: "&amp;R3</f>
        <v>Candidate is Not Suitable with Balanced Candidate. Risk assessment: Low Risk. Recommendation: Keep in Talent Pool</v>
      </c>
    </row>
    <row r="4" spans="1:19" x14ac:dyDescent="0.3">
      <c r="A4" s="3" t="s">
        <v>14</v>
      </c>
      <c r="B4" s="3" t="s">
        <v>15</v>
      </c>
      <c r="C4" s="3" t="s">
        <v>10</v>
      </c>
      <c r="D4" s="3">
        <v>3.6</v>
      </c>
      <c r="E4" s="3">
        <v>3</v>
      </c>
      <c r="F4" s="3">
        <v>5</v>
      </c>
      <c r="G4" s="3">
        <v>92</v>
      </c>
      <c r="H4" s="3">
        <f t="shared" si="0"/>
        <v>88.1</v>
      </c>
      <c r="I4" s="3">
        <f t="shared" si="1"/>
        <v>90</v>
      </c>
      <c r="J4" s="3">
        <f t="shared" si="2"/>
        <v>75</v>
      </c>
      <c r="K4" s="3">
        <f t="shared" si="3"/>
        <v>100</v>
      </c>
      <c r="L4" s="3">
        <f t="shared" si="4"/>
        <v>92</v>
      </c>
      <c r="M4" s="3">
        <f t="shared" si="5"/>
        <v>14</v>
      </c>
      <c r="N4" s="3" t="str">
        <f t="shared" si="6"/>
        <v>Review</v>
      </c>
      <c r="O4" s="3" t="str">
        <f t="shared" si="7"/>
        <v>Potential Candidate</v>
      </c>
      <c r="P4" s="3" t="str">
        <f t="shared" si="8"/>
        <v>Excellent Excel Skills</v>
      </c>
      <c r="Q4" s="3" t="str">
        <f t="shared" si="9"/>
        <v>Low Risk</v>
      </c>
      <c r="R4" s="3" t="str">
        <f t="shared" si="10"/>
        <v>Proceed to Final Interview</v>
      </c>
      <c r="S4" s="4" t="str">
        <f t="shared" si="11"/>
        <v>Candidate is Potential Candidate with Excellent Excel Skills. Risk assessment: Low Risk. Recommendation: Proceed to Final Interview</v>
      </c>
    </row>
    <row r="5" spans="1:19" x14ac:dyDescent="0.3">
      <c r="A5" s="3" t="s">
        <v>16</v>
      </c>
      <c r="B5" s="3" t="s">
        <v>17</v>
      </c>
      <c r="C5" s="3" t="s">
        <v>18</v>
      </c>
      <c r="D5" s="3">
        <v>3.95</v>
      </c>
      <c r="E5" s="3">
        <v>4</v>
      </c>
      <c r="F5" s="3">
        <v>5</v>
      </c>
      <c r="G5" s="3">
        <v>88</v>
      </c>
      <c r="H5" s="3">
        <f t="shared" si="0"/>
        <v>96.15</v>
      </c>
      <c r="I5" s="3">
        <f t="shared" si="1"/>
        <v>98.75</v>
      </c>
      <c r="J5" s="3">
        <f t="shared" si="2"/>
        <v>100</v>
      </c>
      <c r="K5" s="3">
        <f t="shared" si="3"/>
        <v>100</v>
      </c>
      <c r="L5" s="3">
        <f t="shared" si="4"/>
        <v>88</v>
      </c>
      <c r="M5" s="3">
        <f t="shared" si="5"/>
        <v>2</v>
      </c>
      <c r="N5" s="3" t="str">
        <f t="shared" si="6"/>
        <v>Shortlist</v>
      </c>
      <c r="O5" s="3" t="str">
        <f t="shared" si="7"/>
        <v>Highly Recommended</v>
      </c>
      <c r="P5" s="3" t="str">
        <f t="shared" si="8"/>
        <v>Excellent Excel Skills</v>
      </c>
      <c r="Q5" s="3" t="str">
        <f t="shared" si="9"/>
        <v>Low Risk</v>
      </c>
      <c r="R5" s="3" t="str">
        <f t="shared" si="10"/>
        <v>Hire Immediately</v>
      </c>
      <c r="S5" s="4" t="str">
        <f t="shared" si="11"/>
        <v>Candidate is Highly Recommended with Excellent Excel Skills. Risk assessment: Low Risk. Recommendation: Hire Immediately</v>
      </c>
    </row>
    <row r="6" spans="1:19" x14ac:dyDescent="0.3">
      <c r="A6" s="3" t="s">
        <v>19</v>
      </c>
      <c r="B6" s="3" t="s">
        <v>20</v>
      </c>
      <c r="C6" s="3" t="s">
        <v>21</v>
      </c>
      <c r="D6" s="3">
        <v>3.15</v>
      </c>
      <c r="E6" s="3">
        <v>2</v>
      </c>
      <c r="F6" s="3">
        <v>3</v>
      </c>
      <c r="G6" s="3">
        <v>70</v>
      </c>
      <c r="H6" s="3">
        <f t="shared" si="0"/>
        <v>63.75</v>
      </c>
      <c r="I6" s="3">
        <f t="shared" si="1"/>
        <v>78.75</v>
      </c>
      <c r="J6" s="3">
        <f t="shared" si="2"/>
        <v>50</v>
      </c>
      <c r="K6" s="3">
        <f t="shared" si="3"/>
        <v>60</v>
      </c>
      <c r="L6" s="3">
        <f t="shared" si="4"/>
        <v>70</v>
      </c>
      <c r="M6" s="3">
        <f t="shared" si="5"/>
        <v>31</v>
      </c>
      <c r="N6" s="3" t="str">
        <f t="shared" si="6"/>
        <v>Reject</v>
      </c>
      <c r="O6" s="3" t="str">
        <f t="shared" si="7"/>
        <v>Not Suitable</v>
      </c>
      <c r="P6" s="3" t="str">
        <f t="shared" si="8"/>
        <v>Balanced Candidate</v>
      </c>
      <c r="Q6" s="3" t="str">
        <f t="shared" si="9"/>
        <v>Low Risk</v>
      </c>
      <c r="R6" s="3" t="str">
        <f t="shared" si="10"/>
        <v>Keep in Talent Pool</v>
      </c>
      <c r="S6" s="4" t="str">
        <f t="shared" si="11"/>
        <v>Candidate is Not Suitable with Balanced Candidate. Risk assessment: Low Risk. Recommendation: Keep in Talent Pool</v>
      </c>
    </row>
    <row r="7" spans="1:19" x14ac:dyDescent="0.3">
      <c r="A7" s="3" t="s">
        <v>22</v>
      </c>
      <c r="B7" s="3" t="s">
        <v>23</v>
      </c>
      <c r="C7" s="3" t="s">
        <v>13</v>
      </c>
      <c r="D7" s="3">
        <v>3.72</v>
      </c>
      <c r="E7" s="3">
        <v>5</v>
      </c>
      <c r="F7" s="3">
        <v>4</v>
      </c>
      <c r="G7" s="3">
        <v>81</v>
      </c>
      <c r="H7" s="3">
        <f t="shared" si="0"/>
        <v>88.899999999999991</v>
      </c>
      <c r="I7" s="3">
        <f t="shared" si="1"/>
        <v>93</v>
      </c>
      <c r="J7" s="3">
        <f t="shared" si="2"/>
        <v>100</v>
      </c>
      <c r="K7" s="3">
        <f t="shared" si="3"/>
        <v>80</v>
      </c>
      <c r="L7" s="3">
        <f t="shared" si="4"/>
        <v>81</v>
      </c>
      <c r="M7" s="3">
        <f t="shared" si="5"/>
        <v>13</v>
      </c>
      <c r="N7" s="3" t="str">
        <f t="shared" si="6"/>
        <v>Review</v>
      </c>
      <c r="O7" s="3" t="str">
        <f t="shared" si="7"/>
        <v>Potential Candidate</v>
      </c>
      <c r="P7" s="3" t="str">
        <f t="shared" si="8"/>
        <v>Highly Experienced</v>
      </c>
      <c r="Q7" s="3" t="str">
        <f t="shared" si="9"/>
        <v>Low Risk</v>
      </c>
      <c r="R7" s="3" t="str">
        <f t="shared" si="10"/>
        <v>Proceed to Final Interview</v>
      </c>
      <c r="S7" s="4" t="str">
        <f t="shared" si="11"/>
        <v>Candidate is Potential Candidate with Highly Experienced. Risk assessment: Low Risk. Recommendation: Proceed to Final Interview</v>
      </c>
    </row>
    <row r="8" spans="1:19" x14ac:dyDescent="0.3">
      <c r="A8" s="3" t="s">
        <v>24</v>
      </c>
      <c r="B8" s="3" t="s">
        <v>25</v>
      </c>
      <c r="C8" s="3" t="s">
        <v>26</v>
      </c>
      <c r="D8" s="3">
        <v>3.5</v>
      </c>
      <c r="E8" s="3">
        <v>0</v>
      </c>
      <c r="F8" s="3">
        <v>5</v>
      </c>
      <c r="G8" s="3">
        <v>75</v>
      </c>
      <c r="H8" s="3">
        <f t="shared" si="0"/>
        <v>60</v>
      </c>
      <c r="I8" s="3">
        <f t="shared" si="1"/>
        <v>87.5</v>
      </c>
      <c r="J8" s="3">
        <f t="shared" si="2"/>
        <v>0</v>
      </c>
      <c r="K8" s="3">
        <f t="shared" si="3"/>
        <v>100</v>
      </c>
      <c r="L8" s="3">
        <f t="shared" si="4"/>
        <v>75</v>
      </c>
      <c r="M8" s="3">
        <f t="shared" si="5"/>
        <v>32</v>
      </c>
      <c r="N8" s="3" t="str">
        <f t="shared" si="6"/>
        <v>Reject</v>
      </c>
      <c r="O8" s="3" t="str">
        <f t="shared" si="7"/>
        <v>Not Suitable</v>
      </c>
      <c r="P8" s="3" t="str">
        <f t="shared" si="8"/>
        <v>Excellent Excel Skills</v>
      </c>
      <c r="Q8" s="3" t="str">
        <f t="shared" si="9"/>
        <v>No Experience</v>
      </c>
      <c r="R8" s="3" t="str">
        <f t="shared" si="10"/>
        <v>Keep in Talent Pool</v>
      </c>
      <c r="S8" s="4" t="str">
        <f t="shared" si="11"/>
        <v>Candidate is Not Suitable with Excellent Excel Skills. Risk assessment: No Experience. Recommendation: Keep in Talent Pool</v>
      </c>
    </row>
    <row r="9" spans="1:19" x14ac:dyDescent="0.3">
      <c r="A9" s="3" t="s">
        <v>27</v>
      </c>
      <c r="B9" s="3" t="s">
        <v>28</v>
      </c>
      <c r="C9" s="3" t="s">
        <v>10</v>
      </c>
      <c r="D9" s="3">
        <v>3.88</v>
      </c>
      <c r="E9" s="3">
        <v>6</v>
      </c>
      <c r="F9" s="3">
        <v>4</v>
      </c>
      <c r="G9" s="3">
        <v>90</v>
      </c>
      <c r="H9" s="3">
        <f t="shared" si="0"/>
        <v>92.4</v>
      </c>
      <c r="I9" s="3">
        <f t="shared" si="1"/>
        <v>97</v>
      </c>
      <c r="J9" s="3">
        <f t="shared" si="2"/>
        <v>100</v>
      </c>
      <c r="K9" s="3">
        <f t="shared" si="3"/>
        <v>80</v>
      </c>
      <c r="L9" s="3">
        <f t="shared" si="4"/>
        <v>90</v>
      </c>
      <c r="M9" s="3">
        <f t="shared" si="5"/>
        <v>7</v>
      </c>
      <c r="N9" s="3" t="str">
        <f t="shared" si="6"/>
        <v>Review</v>
      </c>
      <c r="O9" s="3" t="str">
        <f t="shared" si="7"/>
        <v>Highly Recommended</v>
      </c>
      <c r="P9" s="3" t="str">
        <f t="shared" si="8"/>
        <v>Highly Experienced</v>
      </c>
      <c r="Q9" s="3" t="str">
        <f t="shared" si="9"/>
        <v>Low Risk</v>
      </c>
      <c r="R9" s="3" t="str">
        <f t="shared" si="10"/>
        <v>Hire Immediately</v>
      </c>
      <c r="S9" s="4" t="str">
        <f t="shared" si="11"/>
        <v>Candidate is Highly Recommended with Highly Experienced. Risk assessment: Low Risk. Recommendation: Hire Immediately</v>
      </c>
    </row>
    <row r="10" spans="1:19" x14ac:dyDescent="0.3">
      <c r="A10" s="3" t="s">
        <v>29</v>
      </c>
      <c r="B10" s="3" t="s">
        <v>30</v>
      </c>
      <c r="C10" s="3" t="s">
        <v>18</v>
      </c>
      <c r="D10" s="3">
        <v>2.95</v>
      </c>
      <c r="E10" s="3">
        <v>3</v>
      </c>
      <c r="F10" s="3">
        <v>3</v>
      </c>
      <c r="G10" s="3">
        <v>65</v>
      </c>
      <c r="H10" s="3">
        <f t="shared" si="0"/>
        <v>68.75</v>
      </c>
      <c r="I10" s="3">
        <f t="shared" si="1"/>
        <v>73.75</v>
      </c>
      <c r="J10" s="3">
        <f t="shared" si="2"/>
        <v>75</v>
      </c>
      <c r="K10" s="3">
        <f t="shared" si="3"/>
        <v>60</v>
      </c>
      <c r="L10" s="3">
        <f t="shared" si="4"/>
        <v>65</v>
      </c>
      <c r="M10" s="3">
        <f t="shared" si="5"/>
        <v>26</v>
      </c>
      <c r="N10" s="3" t="str">
        <f t="shared" si="6"/>
        <v>Reject</v>
      </c>
      <c r="O10" s="3" t="str">
        <f t="shared" si="7"/>
        <v>Not Suitable</v>
      </c>
      <c r="P10" s="3" t="str">
        <f t="shared" si="8"/>
        <v>Balanced Candidate</v>
      </c>
      <c r="Q10" s="3" t="str">
        <f t="shared" si="9"/>
        <v>Low CGPA</v>
      </c>
      <c r="R10" s="3" t="str">
        <f t="shared" si="10"/>
        <v>Keep in Talent Pool</v>
      </c>
      <c r="S10" s="4" t="str">
        <f t="shared" si="11"/>
        <v>Candidate is Not Suitable with Balanced Candidate. Risk assessment: Low CGPA. Recommendation: Keep in Talent Pool</v>
      </c>
    </row>
    <row r="11" spans="1:19" x14ac:dyDescent="0.3">
      <c r="A11" s="3" t="s">
        <v>31</v>
      </c>
      <c r="B11" s="3" t="s">
        <v>32</v>
      </c>
      <c r="C11" s="3" t="s">
        <v>13</v>
      </c>
      <c r="D11" s="3">
        <v>3.65</v>
      </c>
      <c r="E11" s="3">
        <v>1</v>
      </c>
      <c r="F11" s="3">
        <v>4</v>
      </c>
      <c r="G11" s="3">
        <v>83</v>
      </c>
      <c r="H11" s="3">
        <f t="shared" si="0"/>
        <v>66.650000000000006</v>
      </c>
      <c r="I11" s="3">
        <f t="shared" si="1"/>
        <v>91.25</v>
      </c>
      <c r="J11" s="3">
        <f t="shared" si="2"/>
        <v>25</v>
      </c>
      <c r="K11" s="3">
        <f t="shared" si="3"/>
        <v>80</v>
      </c>
      <c r="L11" s="3">
        <f t="shared" si="4"/>
        <v>83</v>
      </c>
      <c r="M11" s="3">
        <f t="shared" si="5"/>
        <v>27</v>
      </c>
      <c r="N11" s="3" t="str">
        <f t="shared" si="6"/>
        <v>Reject</v>
      </c>
      <c r="O11" s="3" t="str">
        <f t="shared" si="7"/>
        <v>Not Suitable</v>
      </c>
      <c r="P11" s="3" t="str">
        <f t="shared" si="8"/>
        <v>Balanced Candidate</v>
      </c>
      <c r="Q11" s="3" t="str">
        <f t="shared" si="9"/>
        <v>Low Risk</v>
      </c>
      <c r="R11" s="3" t="str">
        <f t="shared" si="10"/>
        <v>Keep in Talent Pool</v>
      </c>
      <c r="S11" s="4" t="str">
        <f t="shared" si="11"/>
        <v>Candidate is Not Suitable with Balanced Candidate. Risk assessment: Low Risk. Recommendation: Keep in Talent Pool</v>
      </c>
    </row>
    <row r="12" spans="1:19" x14ac:dyDescent="0.3">
      <c r="A12" s="3" t="s">
        <v>33</v>
      </c>
      <c r="B12" s="3" t="s">
        <v>34</v>
      </c>
      <c r="C12" s="3" t="s">
        <v>21</v>
      </c>
      <c r="D12" s="3">
        <v>3.42</v>
      </c>
      <c r="E12" s="3">
        <v>7</v>
      </c>
      <c r="F12" s="3">
        <v>5</v>
      </c>
      <c r="G12" s="3">
        <v>89</v>
      </c>
      <c r="H12" s="3">
        <f t="shared" si="0"/>
        <v>93.8</v>
      </c>
      <c r="I12" s="3">
        <f t="shared" si="1"/>
        <v>85.5</v>
      </c>
      <c r="J12" s="3">
        <f t="shared" si="2"/>
        <v>100</v>
      </c>
      <c r="K12" s="3">
        <f t="shared" si="3"/>
        <v>100</v>
      </c>
      <c r="L12" s="3">
        <f t="shared" si="4"/>
        <v>89</v>
      </c>
      <c r="M12" s="3">
        <f t="shared" si="5"/>
        <v>4</v>
      </c>
      <c r="N12" s="3" t="str">
        <f t="shared" si="6"/>
        <v>Shortlist</v>
      </c>
      <c r="O12" s="3" t="str">
        <f t="shared" si="7"/>
        <v>Highly Recommended</v>
      </c>
      <c r="P12" s="3" t="str">
        <f t="shared" si="8"/>
        <v>Excellent Excel Skills</v>
      </c>
      <c r="Q12" s="3" t="str">
        <f t="shared" si="9"/>
        <v>Low Risk</v>
      </c>
      <c r="R12" s="3" t="str">
        <f t="shared" si="10"/>
        <v>Hire Immediately</v>
      </c>
      <c r="S12" s="4" t="str">
        <f t="shared" si="11"/>
        <v>Candidate is Highly Recommended with Excellent Excel Skills. Risk assessment: Low Risk. Recommendation: Hire Immediately</v>
      </c>
    </row>
    <row r="13" spans="1:19" x14ac:dyDescent="0.3">
      <c r="A13" s="3" t="s">
        <v>35</v>
      </c>
      <c r="B13" s="3" t="s">
        <v>36</v>
      </c>
      <c r="C13" s="3" t="s">
        <v>10</v>
      </c>
      <c r="D13" s="3">
        <v>3.2</v>
      </c>
      <c r="E13" s="3">
        <v>2</v>
      </c>
      <c r="F13" s="3">
        <v>3</v>
      </c>
      <c r="G13" s="3">
        <v>72</v>
      </c>
      <c r="H13" s="3">
        <f t="shared" si="0"/>
        <v>64.599999999999994</v>
      </c>
      <c r="I13" s="3">
        <f t="shared" si="1"/>
        <v>80</v>
      </c>
      <c r="J13" s="3">
        <f t="shared" si="2"/>
        <v>50</v>
      </c>
      <c r="K13" s="3">
        <f t="shared" si="3"/>
        <v>60</v>
      </c>
      <c r="L13" s="3">
        <f t="shared" si="4"/>
        <v>72</v>
      </c>
      <c r="M13" s="3">
        <f t="shared" si="5"/>
        <v>28</v>
      </c>
      <c r="N13" s="3" t="str">
        <f t="shared" si="6"/>
        <v>Reject</v>
      </c>
      <c r="O13" s="3" t="str">
        <f t="shared" si="7"/>
        <v>Not Suitable</v>
      </c>
      <c r="P13" s="3" t="str">
        <f t="shared" si="8"/>
        <v>Balanced Candidate</v>
      </c>
      <c r="Q13" s="3" t="str">
        <f t="shared" si="9"/>
        <v>Low Risk</v>
      </c>
      <c r="R13" s="3" t="str">
        <f t="shared" si="10"/>
        <v>Keep in Talent Pool</v>
      </c>
      <c r="S13" s="4" t="str">
        <f t="shared" si="11"/>
        <v>Candidate is Not Suitable with Balanced Candidate. Risk assessment: Low Risk. Recommendation: Keep in Talent Pool</v>
      </c>
    </row>
    <row r="14" spans="1:19" x14ac:dyDescent="0.3">
      <c r="A14" s="3" t="s">
        <v>37</v>
      </c>
      <c r="B14" s="3" t="s">
        <v>38</v>
      </c>
      <c r="C14" s="3" t="s">
        <v>18</v>
      </c>
      <c r="D14" s="3">
        <v>4</v>
      </c>
      <c r="E14" s="3">
        <v>5</v>
      </c>
      <c r="F14" s="3">
        <v>5</v>
      </c>
      <c r="G14" s="3">
        <v>96</v>
      </c>
      <c r="H14" s="3">
        <f t="shared" si="0"/>
        <v>98.8</v>
      </c>
      <c r="I14" s="3">
        <f t="shared" si="1"/>
        <v>100</v>
      </c>
      <c r="J14" s="3">
        <f t="shared" si="2"/>
        <v>100</v>
      </c>
      <c r="K14" s="3">
        <f t="shared" si="3"/>
        <v>100</v>
      </c>
      <c r="L14" s="3">
        <f t="shared" si="4"/>
        <v>96</v>
      </c>
      <c r="M14" s="3">
        <f t="shared" si="5"/>
        <v>1</v>
      </c>
      <c r="N14" s="3" t="str">
        <f t="shared" si="6"/>
        <v>Shortlist</v>
      </c>
      <c r="O14" s="3" t="str">
        <f t="shared" si="7"/>
        <v>Highly Recommended</v>
      </c>
      <c r="P14" s="3" t="str">
        <f t="shared" si="8"/>
        <v>Excellent Excel Skills</v>
      </c>
      <c r="Q14" s="3" t="str">
        <f t="shared" si="9"/>
        <v>Low Risk</v>
      </c>
      <c r="R14" s="3" t="str">
        <f t="shared" si="10"/>
        <v>Hire Immediately</v>
      </c>
      <c r="S14" s="4" t="str">
        <f t="shared" si="11"/>
        <v>Candidate is Highly Recommended with Excellent Excel Skills. Risk assessment: Low Risk. Recommendation: Hire Immediately</v>
      </c>
    </row>
    <row r="15" spans="1:19" x14ac:dyDescent="0.3">
      <c r="A15" s="3" t="s">
        <v>39</v>
      </c>
      <c r="B15" s="3" t="s">
        <v>40</v>
      </c>
      <c r="C15" s="3" t="s">
        <v>13</v>
      </c>
      <c r="D15" s="3">
        <v>3.1</v>
      </c>
      <c r="E15" s="3">
        <v>0</v>
      </c>
      <c r="F15" s="3">
        <v>2</v>
      </c>
      <c r="G15" s="3">
        <v>60</v>
      </c>
      <c r="H15" s="3">
        <f t="shared" si="0"/>
        <v>41.5</v>
      </c>
      <c r="I15" s="3">
        <f t="shared" si="1"/>
        <v>77.5</v>
      </c>
      <c r="J15" s="3">
        <f t="shared" si="2"/>
        <v>0</v>
      </c>
      <c r="K15" s="3">
        <f t="shared" si="3"/>
        <v>40</v>
      </c>
      <c r="L15" s="3">
        <f t="shared" si="4"/>
        <v>60</v>
      </c>
      <c r="M15" s="3">
        <f t="shared" si="5"/>
        <v>35</v>
      </c>
      <c r="N15" s="3" t="str">
        <f t="shared" si="6"/>
        <v>Reject</v>
      </c>
      <c r="O15" s="3" t="str">
        <f t="shared" si="7"/>
        <v>Not Suitable</v>
      </c>
      <c r="P15" s="3" t="str">
        <f t="shared" si="8"/>
        <v>Balanced Candidate</v>
      </c>
      <c r="Q15" s="3" t="str">
        <f t="shared" si="9"/>
        <v>No Experience</v>
      </c>
      <c r="R15" s="3" t="str">
        <f t="shared" si="10"/>
        <v>Keep in Talent Pool</v>
      </c>
      <c r="S15" s="4" t="str">
        <f t="shared" si="11"/>
        <v>Candidate is Not Suitable with Balanced Candidate. Risk assessment: No Experience. Recommendation: Keep in Talent Pool</v>
      </c>
    </row>
    <row r="16" spans="1:19" x14ac:dyDescent="0.3">
      <c r="A16" s="3" t="s">
        <v>41</v>
      </c>
      <c r="B16" s="3" t="s">
        <v>42</v>
      </c>
      <c r="C16" s="3" t="s">
        <v>26</v>
      </c>
      <c r="D16" s="3">
        <v>3.55</v>
      </c>
      <c r="E16" s="3">
        <v>3</v>
      </c>
      <c r="F16" s="3">
        <v>4</v>
      </c>
      <c r="G16" s="3">
        <v>77</v>
      </c>
      <c r="H16" s="3">
        <f t="shared" si="0"/>
        <v>79.349999999999994</v>
      </c>
      <c r="I16" s="3">
        <f t="shared" si="1"/>
        <v>88.75</v>
      </c>
      <c r="J16" s="3">
        <f t="shared" si="2"/>
        <v>75</v>
      </c>
      <c r="K16" s="3">
        <f t="shared" si="3"/>
        <v>80</v>
      </c>
      <c r="L16" s="3">
        <f t="shared" si="4"/>
        <v>77</v>
      </c>
      <c r="M16" s="3">
        <f t="shared" si="5"/>
        <v>17</v>
      </c>
      <c r="N16" s="3" t="str">
        <f t="shared" si="6"/>
        <v>Reject</v>
      </c>
      <c r="O16" s="3" t="str">
        <f t="shared" si="7"/>
        <v>Not Suitable</v>
      </c>
      <c r="P16" s="3" t="str">
        <f t="shared" si="8"/>
        <v>Balanced Candidate</v>
      </c>
      <c r="Q16" s="3" t="str">
        <f t="shared" si="9"/>
        <v>Low Risk</v>
      </c>
      <c r="R16" s="3" t="str">
        <f t="shared" si="10"/>
        <v>Keep in Talent Pool</v>
      </c>
      <c r="S16" s="4" t="str">
        <f t="shared" si="11"/>
        <v>Candidate is Not Suitable with Balanced Candidate. Risk assessment: Low Risk. Recommendation: Keep in Talent Pool</v>
      </c>
    </row>
    <row r="17" spans="1:19" x14ac:dyDescent="0.3">
      <c r="A17" s="3" t="s">
        <v>43</v>
      </c>
      <c r="B17" s="3" t="s">
        <v>44</v>
      </c>
      <c r="C17" s="3" t="s">
        <v>10</v>
      </c>
      <c r="D17" s="3">
        <v>3.75</v>
      </c>
      <c r="E17" s="3">
        <v>4</v>
      </c>
      <c r="F17" s="3">
        <v>4</v>
      </c>
      <c r="G17" s="3">
        <v>84</v>
      </c>
      <c r="H17" s="3">
        <f t="shared" si="0"/>
        <v>89.95</v>
      </c>
      <c r="I17" s="3">
        <f t="shared" si="1"/>
        <v>93.75</v>
      </c>
      <c r="J17" s="3">
        <f t="shared" si="2"/>
        <v>100</v>
      </c>
      <c r="K17" s="3">
        <f t="shared" si="3"/>
        <v>80</v>
      </c>
      <c r="L17" s="3">
        <f t="shared" si="4"/>
        <v>84</v>
      </c>
      <c r="M17" s="3">
        <f t="shared" si="5"/>
        <v>11</v>
      </c>
      <c r="N17" s="3" t="str">
        <f t="shared" si="6"/>
        <v>Review</v>
      </c>
      <c r="O17" s="3" t="str">
        <f t="shared" si="7"/>
        <v>Potential Candidate</v>
      </c>
      <c r="P17" s="3" t="str">
        <f t="shared" si="8"/>
        <v>Excellent Academic Performance</v>
      </c>
      <c r="Q17" s="3" t="str">
        <f t="shared" si="9"/>
        <v>Low Risk</v>
      </c>
      <c r="R17" s="3" t="str">
        <f t="shared" si="10"/>
        <v>Proceed to Final Interview</v>
      </c>
      <c r="S17" s="4" t="str">
        <f t="shared" si="11"/>
        <v>Candidate is Potential Candidate with Excellent Academic Performance. Risk assessment: Low Risk. Recommendation: Proceed to Final Interview</v>
      </c>
    </row>
    <row r="18" spans="1:19" x14ac:dyDescent="0.3">
      <c r="A18" s="3" t="s">
        <v>45</v>
      </c>
      <c r="B18" s="3" t="s">
        <v>46</v>
      </c>
      <c r="C18" s="3" t="s">
        <v>18</v>
      </c>
      <c r="D18" s="3">
        <v>3.3</v>
      </c>
      <c r="E18" s="3">
        <v>8</v>
      </c>
      <c r="F18" s="3">
        <v>5</v>
      </c>
      <c r="G18" s="3">
        <v>91</v>
      </c>
      <c r="H18" s="3">
        <f t="shared" si="0"/>
        <v>93.8</v>
      </c>
      <c r="I18" s="3">
        <f t="shared" si="1"/>
        <v>82.5</v>
      </c>
      <c r="J18" s="3">
        <f t="shared" si="2"/>
        <v>100</v>
      </c>
      <c r="K18" s="3">
        <f t="shared" si="3"/>
        <v>100</v>
      </c>
      <c r="L18" s="3">
        <f t="shared" si="4"/>
        <v>91</v>
      </c>
      <c r="M18" s="3">
        <f t="shared" si="5"/>
        <v>4</v>
      </c>
      <c r="N18" s="3" t="str">
        <f t="shared" si="6"/>
        <v>Shortlist</v>
      </c>
      <c r="O18" s="3" t="str">
        <f t="shared" si="7"/>
        <v>Highly Recommended</v>
      </c>
      <c r="P18" s="3" t="str">
        <f t="shared" si="8"/>
        <v>Excellent Excel Skills</v>
      </c>
      <c r="Q18" s="3" t="str">
        <f t="shared" si="9"/>
        <v>Low Risk</v>
      </c>
      <c r="R18" s="3" t="str">
        <f t="shared" si="10"/>
        <v>Hire Immediately</v>
      </c>
      <c r="S18" s="4" t="str">
        <f t="shared" si="11"/>
        <v>Candidate is Highly Recommended with Excellent Excel Skills. Risk assessment: Low Risk. Recommendation: Hire Immediately</v>
      </c>
    </row>
    <row r="19" spans="1:19" x14ac:dyDescent="0.3">
      <c r="A19" s="3" t="s">
        <v>47</v>
      </c>
      <c r="B19" s="3" t="s">
        <v>48</v>
      </c>
      <c r="C19" s="3" t="s">
        <v>21</v>
      </c>
      <c r="D19" s="3">
        <v>3.68</v>
      </c>
      <c r="E19" s="3">
        <v>2</v>
      </c>
      <c r="F19" s="3">
        <v>3</v>
      </c>
      <c r="G19" s="3">
        <v>79</v>
      </c>
      <c r="H19" s="3">
        <f t="shared" si="0"/>
        <v>69.100000000000009</v>
      </c>
      <c r="I19" s="3">
        <f t="shared" si="1"/>
        <v>92</v>
      </c>
      <c r="J19" s="3">
        <f t="shared" si="2"/>
        <v>50</v>
      </c>
      <c r="K19" s="3">
        <f t="shared" si="3"/>
        <v>60</v>
      </c>
      <c r="L19" s="3">
        <f t="shared" si="4"/>
        <v>79</v>
      </c>
      <c r="M19" s="3">
        <f t="shared" si="5"/>
        <v>24</v>
      </c>
      <c r="N19" s="3" t="str">
        <f t="shared" si="6"/>
        <v>Reject</v>
      </c>
      <c r="O19" s="3" t="str">
        <f t="shared" si="7"/>
        <v>Not Suitable</v>
      </c>
      <c r="P19" s="3" t="str">
        <f t="shared" si="8"/>
        <v>Balanced Candidate</v>
      </c>
      <c r="Q19" s="3" t="str">
        <f t="shared" si="9"/>
        <v>Low Risk</v>
      </c>
      <c r="R19" s="3" t="str">
        <f t="shared" si="10"/>
        <v>Keep in Talent Pool</v>
      </c>
      <c r="S19" s="4" t="str">
        <f t="shared" si="11"/>
        <v>Candidate is Not Suitable with Balanced Candidate. Risk assessment: Low Risk. Recommendation: Keep in Talent Pool</v>
      </c>
    </row>
    <row r="20" spans="1:19" x14ac:dyDescent="0.3">
      <c r="A20" s="3" t="s">
        <v>49</v>
      </c>
      <c r="B20" s="3" t="s">
        <v>50</v>
      </c>
      <c r="C20" s="3" t="s">
        <v>13</v>
      </c>
      <c r="D20" s="3">
        <v>3.9</v>
      </c>
      <c r="E20" s="3">
        <v>1</v>
      </c>
      <c r="F20" s="3">
        <v>4</v>
      </c>
      <c r="G20" s="3">
        <v>86</v>
      </c>
      <c r="H20" s="3">
        <f t="shared" si="0"/>
        <v>68.8</v>
      </c>
      <c r="I20" s="3">
        <f t="shared" si="1"/>
        <v>97.5</v>
      </c>
      <c r="J20" s="3">
        <f t="shared" si="2"/>
        <v>25</v>
      </c>
      <c r="K20" s="3">
        <f t="shared" si="3"/>
        <v>80</v>
      </c>
      <c r="L20" s="3">
        <f t="shared" si="4"/>
        <v>86</v>
      </c>
      <c r="M20" s="3">
        <f t="shared" si="5"/>
        <v>25</v>
      </c>
      <c r="N20" s="3" t="str">
        <f t="shared" si="6"/>
        <v>Reject</v>
      </c>
      <c r="O20" s="3" t="str">
        <f t="shared" si="7"/>
        <v>Not Suitable</v>
      </c>
      <c r="P20" s="3" t="str">
        <f t="shared" si="8"/>
        <v>Excellent Academic Performance</v>
      </c>
      <c r="Q20" s="3" t="str">
        <f t="shared" si="9"/>
        <v>Low Risk</v>
      </c>
      <c r="R20" s="3" t="str">
        <f t="shared" si="10"/>
        <v>Keep in Talent Pool</v>
      </c>
      <c r="S20" s="4" t="str">
        <f t="shared" si="11"/>
        <v>Candidate is Not Suitable with Excellent Academic Performance. Risk assessment: Low Risk. Recommendation: Keep in Talent Pool</v>
      </c>
    </row>
    <row r="21" spans="1:19" x14ac:dyDescent="0.3">
      <c r="A21" s="3" t="s">
        <v>51</v>
      </c>
      <c r="B21" s="3" t="s">
        <v>52</v>
      </c>
      <c r="C21" s="3" t="s">
        <v>26</v>
      </c>
      <c r="D21" s="3">
        <v>2.85</v>
      </c>
      <c r="E21" s="3">
        <v>5</v>
      </c>
      <c r="F21" s="3">
        <v>5</v>
      </c>
      <c r="G21" s="3">
        <v>73</v>
      </c>
      <c r="H21" s="3">
        <f t="shared" si="0"/>
        <v>86.15</v>
      </c>
      <c r="I21" s="3">
        <f t="shared" si="1"/>
        <v>71.25</v>
      </c>
      <c r="J21" s="3">
        <f t="shared" si="2"/>
        <v>100</v>
      </c>
      <c r="K21" s="3">
        <f t="shared" si="3"/>
        <v>100</v>
      </c>
      <c r="L21" s="3">
        <f t="shared" si="4"/>
        <v>73</v>
      </c>
      <c r="M21" s="3">
        <f t="shared" si="5"/>
        <v>15</v>
      </c>
      <c r="N21" s="3" t="str">
        <f t="shared" si="6"/>
        <v>Review</v>
      </c>
      <c r="O21" s="3" t="str">
        <f t="shared" si="7"/>
        <v>Potential Candidate</v>
      </c>
      <c r="P21" s="3" t="str">
        <f t="shared" si="8"/>
        <v>Excellent Excel Skills</v>
      </c>
      <c r="Q21" s="3" t="str">
        <f t="shared" si="9"/>
        <v>Low CGPA</v>
      </c>
      <c r="R21" s="3" t="str">
        <f t="shared" si="10"/>
        <v>Proceed to Final Interview</v>
      </c>
      <c r="S21" s="4" t="str">
        <f t="shared" si="11"/>
        <v>Candidate is Potential Candidate with Excellent Excel Skills. Risk assessment: Low CGPA. Recommendation: Proceed to Final Interview</v>
      </c>
    </row>
    <row r="22" spans="1:19" x14ac:dyDescent="0.3">
      <c r="A22" s="3" t="s">
        <v>53</v>
      </c>
      <c r="B22" s="3" t="s">
        <v>54</v>
      </c>
      <c r="C22" s="3" t="s">
        <v>10</v>
      </c>
      <c r="D22" s="3">
        <v>3.45</v>
      </c>
      <c r="E22" s="3">
        <v>3</v>
      </c>
      <c r="F22" s="3">
        <v>3</v>
      </c>
      <c r="G22" s="3">
        <v>80</v>
      </c>
      <c r="H22" s="3">
        <f t="shared" si="0"/>
        <v>75.75</v>
      </c>
      <c r="I22" s="3">
        <f t="shared" si="1"/>
        <v>86.25</v>
      </c>
      <c r="J22" s="3">
        <f t="shared" si="2"/>
        <v>75</v>
      </c>
      <c r="K22" s="3">
        <f t="shared" si="3"/>
        <v>60</v>
      </c>
      <c r="L22" s="3">
        <f t="shared" si="4"/>
        <v>80</v>
      </c>
      <c r="M22" s="3">
        <f t="shared" si="5"/>
        <v>19</v>
      </c>
      <c r="N22" s="3" t="str">
        <f t="shared" si="6"/>
        <v>Reject</v>
      </c>
      <c r="O22" s="3" t="str">
        <f t="shared" si="7"/>
        <v>Not Suitable</v>
      </c>
      <c r="P22" s="3" t="str">
        <f t="shared" si="8"/>
        <v>Balanced Candidate</v>
      </c>
      <c r="Q22" s="3" t="str">
        <f t="shared" si="9"/>
        <v>Low Risk</v>
      </c>
      <c r="R22" s="3" t="str">
        <f t="shared" si="10"/>
        <v>Keep in Talent Pool</v>
      </c>
      <c r="S22" s="4" t="str">
        <f t="shared" si="11"/>
        <v>Candidate is Not Suitable with Balanced Candidate. Risk assessment: Low Risk. Recommendation: Keep in Talent Pool</v>
      </c>
    </row>
    <row r="23" spans="1:19" x14ac:dyDescent="0.3">
      <c r="A23" s="3" t="s">
        <v>55</v>
      </c>
      <c r="B23" s="3" t="s">
        <v>56</v>
      </c>
      <c r="C23" s="3" t="s">
        <v>18</v>
      </c>
      <c r="D23" s="3">
        <v>3.62</v>
      </c>
      <c r="E23" s="3">
        <v>2</v>
      </c>
      <c r="F23" s="3">
        <v>4</v>
      </c>
      <c r="G23" s="3">
        <v>76</v>
      </c>
      <c r="H23" s="3">
        <f t="shared" si="0"/>
        <v>71.900000000000006</v>
      </c>
      <c r="I23" s="3">
        <f t="shared" si="1"/>
        <v>90.5</v>
      </c>
      <c r="J23" s="3">
        <f t="shared" si="2"/>
        <v>50</v>
      </c>
      <c r="K23" s="3">
        <f t="shared" si="3"/>
        <v>80</v>
      </c>
      <c r="L23" s="3">
        <f t="shared" si="4"/>
        <v>76</v>
      </c>
      <c r="M23" s="3">
        <f t="shared" si="5"/>
        <v>21</v>
      </c>
      <c r="N23" s="3" t="str">
        <f t="shared" si="6"/>
        <v>Reject</v>
      </c>
      <c r="O23" s="3" t="str">
        <f t="shared" si="7"/>
        <v>Not Suitable</v>
      </c>
      <c r="P23" s="3" t="str">
        <f t="shared" si="8"/>
        <v>Balanced Candidate</v>
      </c>
      <c r="Q23" s="3" t="str">
        <f t="shared" si="9"/>
        <v>Low Risk</v>
      </c>
      <c r="R23" s="3" t="str">
        <f t="shared" si="10"/>
        <v>Keep in Talent Pool</v>
      </c>
      <c r="S23" s="4" t="str">
        <f t="shared" si="11"/>
        <v>Candidate is Not Suitable with Balanced Candidate. Risk assessment: Low Risk. Recommendation: Keep in Talent Pool</v>
      </c>
    </row>
    <row r="24" spans="1:19" x14ac:dyDescent="0.3">
      <c r="A24" s="3" t="s">
        <v>57</v>
      </c>
      <c r="B24" s="3" t="s">
        <v>58</v>
      </c>
      <c r="C24" s="3" t="s">
        <v>21</v>
      </c>
      <c r="D24" s="3">
        <v>3.78</v>
      </c>
      <c r="E24" s="3">
        <v>6</v>
      </c>
      <c r="F24" s="3">
        <v>4</v>
      </c>
      <c r="G24" s="3">
        <v>85</v>
      </c>
      <c r="H24" s="3">
        <f t="shared" si="0"/>
        <v>90.4</v>
      </c>
      <c r="I24" s="3">
        <f t="shared" si="1"/>
        <v>94.5</v>
      </c>
      <c r="J24" s="3">
        <f t="shared" si="2"/>
        <v>100</v>
      </c>
      <c r="K24" s="3">
        <f t="shared" si="3"/>
        <v>80</v>
      </c>
      <c r="L24" s="3">
        <f t="shared" si="4"/>
        <v>85</v>
      </c>
      <c r="M24" s="3">
        <f t="shared" si="5"/>
        <v>10</v>
      </c>
      <c r="N24" s="3" t="str">
        <f t="shared" si="6"/>
        <v>Review</v>
      </c>
      <c r="O24" s="3" t="str">
        <f t="shared" si="7"/>
        <v>Highly Recommended</v>
      </c>
      <c r="P24" s="3" t="str">
        <f t="shared" si="8"/>
        <v>Highly Experienced</v>
      </c>
      <c r="Q24" s="3" t="str">
        <f t="shared" si="9"/>
        <v>Low Risk</v>
      </c>
      <c r="R24" s="3" t="str">
        <f t="shared" si="10"/>
        <v>Hire Immediately</v>
      </c>
      <c r="S24" s="4" t="str">
        <f t="shared" si="11"/>
        <v>Candidate is Highly Recommended with Highly Experienced. Risk assessment: Low Risk. Recommendation: Hire Immediately</v>
      </c>
    </row>
    <row r="25" spans="1:19" x14ac:dyDescent="0.3">
      <c r="A25" s="3" t="s">
        <v>59</v>
      </c>
      <c r="B25" s="3" t="s">
        <v>60</v>
      </c>
      <c r="C25" s="3" t="s">
        <v>13</v>
      </c>
      <c r="D25" s="3">
        <v>3.25</v>
      </c>
      <c r="E25" s="3">
        <v>4</v>
      </c>
      <c r="F25" s="3">
        <v>3</v>
      </c>
      <c r="G25" s="3">
        <v>68</v>
      </c>
      <c r="H25" s="3">
        <f t="shared" si="0"/>
        <v>78.650000000000006</v>
      </c>
      <c r="I25" s="3">
        <f t="shared" si="1"/>
        <v>81.25</v>
      </c>
      <c r="J25" s="3">
        <f t="shared" si="2"/>
        <v>100</v>
      </c>
      <c r="K25" s="3">
        <f t="shared" si="3"/>
        <v>60</v>
      </c>
      <c r="L25" s="3">
        <f t="shared" si="4"/>
        <v>68</v>
      </c>
      <c r="M25" s="3">
        <f t="shared" si="5"/>
        <v>18</v>
      </c>
      <c r="N25" s="3" t="str">
        <f t="shared" si="6"/>
        <v>Reject</v>
      </c>
      <c r="O25" s="3" t="str">
        <f t="shared" si="7"/>
        <v>Not Suitable</v>
      </c>
      <c r="P25" s="3" t="str">
        <f t="shared" si="8"/>
        <v>Balanced Candidate</v>
      </c>
      <c r="Q25" s="3" t="str">
        <f t="shared" si="9"/>
        <v>Weak Interview</v>
      </c>
      <c r="R25" s="3" t="str">
        <f t="shared" si="10"/>
        <v>Keep in Talent Pool</v>
      </c>
      <c r="S25" s="4" t="str">
        <f t="shared" si="11"/>
        <v>Candidate is Not Suitable with Balanced Candidate. Risk assessment: Weak Interview. Recommendation: Keep in Talent Pool</v>
      </c>
    </row>
    <row r="26" spans="1:19" x14ac:dyDescent="0.3">
      <c r="A26" s="3" t="s">
        <v>61</v>
      </c>
      <c r="B26" s="3" t="s">
        <v>62</v>
      </c>
      <c r="C26" s="3" t="s">
        <v>10</v>
      </c>
      <c r="D26" s="3">
        <v>3.92</v>
      </c>
      <c r="E26" s="3">
        <v>1</v>
      </c>
      <c r="F26" s="3">
        <v>4</v>
      </c>
      <c r="G26" s="3">
        <v>88</v>
      </c>
      <c r="H26" s="3">
        <f t="shared" si="0"/>
        <v>69.5</v>
      </c>
      <c r="I26" s="3">
        <f t="shared" si="1"/>
        <v>98</v>
      </c>
      <c r="J26" s="3">
        <f t="shared" si="2"/>
        <v>25</v>
      </c>
      <c r="K26" s="3">
        <f t="shared" si="3"/>
        <v>80</v>
      </c>
      <c r="L26" s="3">
        <f t="shared" si="4"/>
        <v>88</v>
      </c>
      <c r="M26" s="3">
        <f t="shared" si="5"/>
        <v>23</v>
      </c>
      <c r="N26" s="3" t="str">
        <f t="shared" si="6"/>
        <v>Reject</v>
      </c>
      <c r="O26" s="3" t="str">
        <f t="shared" si="7"/>
        <v>Not Suitable</v>
      </c>
      <c r="P26" s="3" t="str">
        <f t="shared" si="8"/>
        <v>Excellent Academic Performance</v>
      </c>
      <c r="Q26" s="3" t="str">
        <f t="shared" si="9"/>
        <v>Low Risk</v>
      </c>
      <c r="R26" s="3" t="str">
        <f t="shared" si="10"/>
        <v>Keep in Talent Pool</v>
      </c>
      <c r="S26" s="4" t="str">
        <f t="shared" si="11"/>
        <v>Candidate is Not Suitable with Excellent Academic Performance. Risk assessment: Low Risk. Recommendation: Keep in Talent Pool</v>
      </c>
    </row>
    <row r="27" spans="1:19" x14ac:dyDescent="0.3">
      <c r="A27" s="3" t="s">
        <v>63</v>
      </c>
      <c r="B27" s="3" t="s">
        <v>64</v>
      </c>
      <c r="C27" s="3" t="s">
        <v>18</v>
      </c>
      <c r="D27" s="3">
        <v>3.5</v>
      </c>
      <c r="E27" s="3">
        <v>9</v>
      </c>
      <c r="F27" s="3">
        <v>5</v>
      </c>
      <c r="G27" s="3">
        <v>94</v>
      </c>
      <c r="H27" s="3">
        <f t="shared" si="0"/>
        <v>95.7</v>
      </c>
      <c r="I27" s="3">
        <f t="shared" si="1"/>
        <v>87.5</v>
      </c>
      <c r="J27" s="3">
        <f t="shared" si="2"/>
        <v>100</v>
      </c>
      <c r="K27" s="3">
        <f t="shared" si="3"/>
        <v>100</v>
      </c>
      <c r="L27" s="3">
        <f t="shared" si="4"/>
        <v>94</v>
      </c>
      <c r="M27" s="3">
        <f t="shared" si="5"/>
        <v>3</v>
      </c>
      <c r="N27" s="3" t="str">
        <f t="shared" si="6"/>
        <v>Shortlist</v>
      </c>
      <c r="O27" s="3" t="str">
        <f t="shared" si="7"/>
        <v>Highly Recommended</v>
      </c>
      <c r="P27" s="3" t="str">
        <f t="shared" si="8"/>
        <v>Excellent Excel Skills</v>
      </c>
      <c r="Q27" s="3" t="str">
        <f t="shared" si="9"/>
        <v>Low Risk</v>
      </c>
      <c r="R27" s="3" t="str">
        <f t="shared" si="10"/>
        <v>Hire Immediately</v>
      </c>
      <c r="S27" s="4" t="str">
        <f t="shared" si="11"/>
        <v>Candidate is Highly Recommended with Excellent Excel Skills. Risk assessment: Low Risk. Recommendation: Hire Immediately</v>
      </c>
    </row>
    <row r="28" spans="1:19" x14ac:dyDescent="0.3">
      <c r="A28" s="3" t="s">
        <v>65</v>
      </c>
      <c r="B28" s="3" t="s">
        <v>66</v>
      </c>
      <c r="C28" s="3" t="s">
        <v>26</v>
      </c>
      <c r="D28" s="3">
        <v>3.7</v>
      </c>
      <c r="E28" s="3">
        <v>2</v>
      </c>
      <c r="F28" s="3">
        <v>4</v>
      </c>
      <c r="G28" s="3">
        <v>82</v>
      </c>
      <c r="H28" s="3">
        <f t="shared" si="0"/>
        <v>74.099999999999994</v>
      </c>
      <c r="I28" s="3">
        <f t="shared" si="1"/>
        <v>92.5</v>
      </c>
      <c r="J28" s="3">
        <f t="shared" si="2"/>
        <v>50</v>
      </c>
      <c r="K28" s="3">
        <f t="shared" si="3"/>
        <v>80</v>
      </c>
      <c r="L28" s="3">
        <f t="shared" si="4"/>
        <v>82</v>
      </c>
      <c r="M28" s="3">
        <f t="shared" si="5"/>
        <v>20</v>
      </c>
      <c r="N28" s="3" t="str">
        <f t="shared" si="6"/>
        <v>Reject</v>
      </c>
      <c r="O28" s="3" t="str">
        <f t="shared" si="7"/>
        <v>Not Suitable</v>
      </c>
      <c r="P28" s="3" t="str">
        <f t="shared" si="8"/>
        <v>Excellent Academic Performance</v>
      </c>
      <c r="Q28" s="3" t="str">
        <f t="shared" si="9"/>
        <v>Low Risk</v>
      </c>
      <c r="R28" s="3" t="str">
        <f t="shared" si="10"/>
        <v>Keep in Talent Pool</v>
      </c>
      <c r="S28" s="4" t="str">
        <f t="shared" si="11"/>
        <v>Candidate is Not Suitable with Excellent Academic Performance. Risk assessment: Low Risk. Recommendation: Keep in Talent Pool</v>
      </c>
    </row>
    <row r="29" spans="1:19" x14ac:dyDescent="0.3">
      <c r="A29" s="3" t="s">
        <v>67</v>
      </c>
      <c r="B29" s="3" t="s">
        <v>68</v>
      </c>
      <c r="C29" s="3" t="s">
        <v>13</v>
      </c>
      <c r="D29" s="3">
        <v>3.05</v>
      </c>
      <c r="E29" s="3">
        <v>3</v>
      </c>
      <c r="F29" s="3">
        <v>3</v>
      </c>
      <c r="G29" s="3">
        <v>67</v>
      </c>
      <c r="H29" s="3">
        <f t="shared" si="0"/>
        <v>69.849999999999994</v>
      </c>
      <c r="I29" s="3">
        <f t="shared" si="1"/>
        <v>76.25</v>
      </c>
      <c r="J29" s="3">
        <f t="shared" si="2"/>
        <v>75</v>
      </c>
      <c r="K29" s="3">
        <f t="shared" si="3"/>
        <v>60</v>
      </c>
      <c r="L29" s="3">
        <f t="shared" si="4"/>
        <v>67</v>
      </c>
      <c r="M29" s="3">
        <f t="shared" si="5"/>
        <v>22</v>
      </c>
      <c r="N29" s="3" t="str">
        <f t="shared" si="6"/>
        <v>Reject</v>
      </c>
      <c r="O29" s="3" t="str">
        <f t="shared" si="7"/>
        <v>Not Suitable</v>
      </c>
      <c r="P29" s="3" t="str">
        <f t="shared" si="8"/>
        <v>Balanced Candidate</v>
      </c>
      <c r="Q29" s="3" t="str">
        <f t="shared" si="9"/>
        <v>Weak Interview</v>
      </c>
      <c r="R29" s="3" t="str">
        <f t="shared" si="10"/>
        <v>Keep in Talent Pool</v>
      </c>
      <c r="S29" s="4" t="str">
        <f t="shared" si="11"/>
        <v>Candidate is Not Suitable with Balanced Candidate. Risk assessment: Weak Interview. Recommendation: Keep in Talent Pool</v>
      </c>
    </row>
    <row r="30" spans="1:19" x14ac:dyDescent="0.3">
      <c r="A30" s="3" t="s">
        <v>69</v>
      </c>
      <c r="B30" s="3" t="s">
        <v>70</v>
      </c>
      <c r="C30" s="3" t="s">
        <v>21</v>
      </c>
      <c r="D30" s="3">
        <v>3.83</v>
      </c>
      <c r="E30" s="3">
        <v>0</v>
      </c>
      <c r="F30" s="3">
        <v>4</v>
      </c>
      <c r="G30" s="3">
        <v>74</v>
      </c>
      <c r="H30" s="3">
        <f t="shared" si="0"/>
        <v>57.350000000000009</v>
      </c>
      <c r="I30" s="3">
        <f t="shared" si="1"/>
        <v>95.75</v>
      </c>
      <c r="J30" s="3">
        <f t="shared" si="2"/>
        <v>0</v>
      </c>
      <c r="K30" s="3">
        <f t="shared" si="3"/>
        <v>80</v>
      </c>
      <c r="L30" s="3">
        <f t="shared" si="4"/>
        <v>74</v>
      </c>
      <c r="M30" s="3">
        <f t="shared" si="5"/>
        <v>33</v>
      </c>
      <c r="N30" s="3" t="str">
        <f t="shared" si="6"/>
        <v>Reject</v>
      </c>
      <c r="O30" s="3" t="str">
        <f t="shared" si="7"/>
        <v>Not Suitable</v>
      </c>
      <c r="P30" s="3" t="str">
        <f t="shared" si="8"/>
        <v>Excellent Academic Performance</v>
      </c>
      <c r="Q30" s="3" t="str">
        <f t="shared" si="9"/>
        <v>No Experience</v>
      </c>
      <c r="R30" s="3" t="str">
        <f t="shared" si="10"/>
        <v>Keep in Talent Pool</v>
      </c>
      <c r="S30" s="4" t="str">
        <f t="shared" si="11"/>
        <v>Candidate is Not Suitable with Excellent Academic Performance. Risk assessment: No Experience. Recommendation: Keep in Talent Pool</v>
      </c>
    </row>
    <row r="31" spans="1:19" x14ac:dyDescent="0.3">
      <c r="A31" s="3" t="s">
        <v>71</v>
      </c>
      <c r="B31" s="3" t="s">
        <v>72</v>
      </c>
      <c r="C31" s="3" t="s">
        <v>10</v>
      </c>
      <c r="D31" s="3">
        <v>3.4</v>
      </c>
      <c r="E31" s="3">
        <v>5</v>
      </c>
      <c r="F31" s="3">
        <v>5</v>
      </c>
      <c r="G31" s="3">
        <v>87</v>
      </c>
      <c r="H31" s="3">
        <f t="shared" si="0"/>
        <v>93.1</v>
      </c>
      <c r="I31" s="3">
        <f t="shared" si="1"/>
        <v>85</v>
      </c>
      <c r="J31" s="3">
        <f t="shared" si="2"/>
        <v>100</v>
      </c>
      <c r="K31" s="3">
        <f t="shared" si="3"/>
        <v>100</v>
      </c>
      <c r="L31" s="3">
        <f t="shared" si="4"/>
        <v>87</v>
      </c>
      <c r="M31" s="3">
        <f t="shared" si="5"/>
        <v>6</v>
      </c>
      <c r="N31" s="3" t="str">
        <f t="shared" si="6"/>
        <v>Review</v>
      </c>
      <c r="O31" s="3" t="str">
        <f t="shared" si="7"/>
        <v>Highly Recommended</v>
      </c>
      <c r="P31" s="3" t="str">
        <f t="shared" si="8"/>
        <v>Excellent Excel Skills</v>
      </c>
      <c r="Q31" s="3" t="str">
        <f t="shared" si="9"/>
        <v>Low Risk</v>
      </c>
      <c r="R31" s="3" t="str">
        <f t="shared" si="10"/>
        <v>Hire Immediately</v>
      </c>
      <c r="S31" s="4" t="str">
        <f t="shared" si="11"/>
        <v>Candidate is Highly Recommended with Excellent Excel Skills. Risk assessment: Low Risk. Recommendation: Hire Immediately</v>
      </c>
    </row>
    <row r="32" spans="1:19" x14ac:dyDescent="0.3">
      <c r="A32" s="3" t="s">
        <v>73</v>
      </c>
      <c r="B32" s="3" t="s">
        <v>74</v>
      </c>
      <c r="C32" s="3" t="s">
        <v>18</v>
      </c>
      <c r="D32" s="3">
        <v>3.67</v>
      </c>
      <c r="E32" s="3">
        <v>4</v>
      </c>
      <c r="F32" s="3">
        <v>4</v>
      </c>
      <c r="G32" s="3">
        <v>83</v>
      </c>
      <c r="H32" s="3">
        <f t="shared" si="0"/>
        <v>89.25</v>
      </c>
      <c r="I32" s="3">
        <f t="shared" si="1"/>
        <v>91.75</v>
      </c>
      <c r="J32" s="3">
        <f t="shared" si="2"/>
        <v>100</v>
      </c>
      <c r="K32" s="3">
        <f t="shared" si="3"/>
        <v>80</v>
      </c>
      <c r="L32" s="3">
        <f t="shared" si="4"/>
        <v>83</v>
      </c>
      <c r="M32" s="3">
        <f t="shared" si="5"/>
        <v>12</v>
      </c>
      <c r="N32" s="3" t="str">
        <f t="shared" si="6"/>
        <v>Review</v>
      </c>
      <c r="O32" s="3" t="str">
        <f t="shared" si="7"/>
        <v>Potential Candidate</v>
      </c>
      <c r="P32" s="3" t="str">
        <f t="shared" si="8"/>
        <v>Balanced Candidate</v>
      </c>
      <c r="Q32" s="3" t="str">
        <f t="shared" si="9"/>
        <v>Low Risk</v>
      </c>
      <c r="R32" s="3" t="str">
        <f t="shared" si="10"/>
        <v>Proceed to Final Interview</v>
      </c>
      <c r="S32" s="4" t="str">
        <f t="shared" si="11"/>
        <v>Candidate is Potential Candidate with Balanced Candidate. Risk assessment: Low Risk. Recommendation: Proceed to Final Interview</v>
      </c>
    </row>
    <row r="33" spans="1:19" x14ac:dyDescent="0.3">
      <c r="A33" s="3" t="s">
        <v>75</v>
      </c>
      <c r="B33" s="3" t="s">
        <v>76</v>
      </c>
      <c r="C33" s="3" t="s">
        <v>13</v>
      </c>
      <c r="D33" s="3">
        <v>3.22</v>
      </c>
      <c r="E33" s="3">
        <v>2</v>
      </c>
      <c r="F33" s="3">
        <v>3</v>
      </c>
      <c r="G33" s="3">
        <v>71</v>
      </c>
      <c r="H33" s="3">
        <f t="shared" si="0"/>
        <v>64.400000000000006</v>
      </c>
      <c r="I33" s="3">
        <f t="shared" si="1"/>
        <v>80.5</v>
      </c>
      <c r="J33" s="3">
        <f t="shared" si="2"/>
        <v>50</v>
      </c>
      <c r="K33" s="3">
        <f t="shared" si="3"/>
        <v>60</v>
      </c>
      <c r="L33" s="3">
        <f t="shared" si="4"/>
        <v>71</v>
      </c>
      <c r="M33" s="3">
        <f t="shared" si="5"/>
        <v>29</v>
      </c>
      <c r="N33" s="3" t="str">
        <f t="shared" si="6"/>
        <v>Reject</v>
      </c>
      <c r="O33" s="3" t="str">
        <f t="shared" si="7"/>
        <v>Not Suitable</v>
      </c>
      <c r="P33" s="3" t="str">
        <f t="shared" si="8"/>
        <v>Balanced Candidate</v>
      </c>
      <c r="Q33" s="3" t="str">
        <f t="shared" si="9"/>
        <v>Low Risk</v>
      </c>
      <c r="R33" s="3" t="str">
        <f t="shared" si="10"/>
        <v>Keep in Talent Pool</v>
      </c>
      <c r="S33" s="4" t="str">
        <f t="shared" si="11"/>
        <v>Candidate is Not Suitable with Balanced Candidate. Risk assessment: Low Risk. Recommendation: Keep in Talent Pool</v>
      </c>
    </row>
    <row r="34" spans="1:19" x14ac:dyDescent="0.3">
      <c r="A34" s="3" t="s">
        <v>77</v>
      </c>
      <c r="B34" s="3" t="s">
        <v>78</v>
      </c>
      <c r="C34" s="3" t="s">
        <v>26</v>
      </c>
      <c r="D34" s="3">
        <v>3.98</v>
      </c>
      <c r="E34" s="3">
        <v>3</v>
      </c>
      <c r="F34" s="3">
        <v>5</v>
      </c>
      <c r="G34" s="3">
        <v>95</v>
      </c>
      <c r="H34" s="3">
        <f t="shared" si="0"/>
        <v>90.9</v>
      </c>
      <c r="I34" s="3">
        <f t="shared" si="1"/>
        <v>99.5</v>
      </c>
      <c r="J34" s="3">
        <f t="shared" si="2"/>
        <v>75</v>
      </c>
      <c r="K34" s="3">
        <f t="shared" si="3"/>
        <v>100</v>
      </c>
      <c r="L34" s="3">
        <f t="shared" si="4"/>
        <v>95</v>
      </c>
      <c r="M34" s="3">
        <f t="shared" si="5"/>
        <v>8</v>
      </c>
      <c r="N34" s="3" t="str">
        <f t="shared" si="6"/>
        <v>Review</v>
      </c>
      <c r="O34" s="3" t="str">
        <f t="shared" si="7"/>
        <v>Highly Recommended</v>
      </c>
      <c r="P34" s="3" t="str">
        <f t="shared" si="8"/>
        <v>Excellent Excel Skills</v>
      </c>
      <c r="Q34" s="3" t="str">
        <f t="shared" si="9"/>
        <v>Low Risk</v>
      </c>
      <c r="R34" s="3" t="str">
        <f t="shared" si="10"/>
        <v>Hire Immediately</v>
      </c>
      <c r="S34" s="4" t="str">
        <f t="shared" si="11"/>
        <v>Candidate is Highly Recommended with Excellent Excel Skills. Risk assessment: Low Risk. Recommendation: Hire Immediately</v>
      </c>
    </row>
    <row r="35" spans="1:19" x14ac:dyDescent="0.3">
      <c r="A35" s="3" t="s">
        <v>79</v>
      </c>
      <c r="B35" s="3" t="s">
        <v>80</v>
      </c>
      <c r="C35" s="3" t="s">
        <v>10</v>
      </c>
      <c r="D35" s="3">
        <v>3.58</v>
      </c>
      <c r="E35" s="3">
        <v>7</v>
      </c>
      <c r="F35" s="3">
        <v>4</v>
      </c>
      <c r="G35" s="3">
        <v>89</v>
      </c>
      <c r="H35" s="3">
        <f t="shared" si="0"/>
        <v>90.600000000000009</v>
      </c>
      <c r="I35" s="3">
        <f t="shared" si="1"/>
        <v>89.5</v>
      </c>
      <c r="J35" s="3">
        <f t="shared" si="2"/>
        <v>100</v>
      </c>
      <c r="K35" s="3">
        <f t="shared" si="3"/>
        <v>80</v>
      </c>
      <c r="L35" s="3">
        <f t="shared" si="4"/>
        <v>89</v>
      </c>
      <c r="M35" s="3">
        <f t="shared" si="5"/>
        <v>9</v>
      </c>
      <c r="N35" s="3" t="str">
        <f t="shared" si="6"/>
        <v>Review</v>
      </c>
      <c r="O35" s="3" t="str">
        <f t="shared" si="7"/>
        <v>Highly Recommended</v>
      </c>
      <c r="P35" s="3" t="str">
        <f t="shared" si="8"/>
        <v>Highly Experienced</v>
      </c>
      <c r="Q35" s="3" t="str">
        <f t="shared" si="9"/>
        <v>Low Risk</v>
      </c>
      <c r="R35" s="3" t="str">
        <f t="shared" si="10"/>
        <v>Hire Immediately</v>
      </c>
      <c r="S35" s="4" t="str">
        <f t="shared" si="11"/>
        <v>Candidate is Highly Recommended with Highly Experienced. Risk assessment: Low Risk. Recommendation: Hire Immediately</v>
      </c>
    </row>
    <row r="36" spans="1:19" x14ac:dyDescent="0.3">
      <c r="A36" s="3" t="s">
        <v>81</v>
      </c>
      <c r="B36" s="3" t="s">
        <v>82</v>
      </c>
      <c r="C36" s="3" t="s">
        <v>21</v>
      </c>
      <c r="D36" s="3">
        <v>3.12</v>
      </c>
      <c r="E36" s="3">
        <v>1</v>
      </c>
      <c r="F36" s="3">
        <v>2</v>
      </c>
      <c r="G36" s="3">
        <v>64</v>
      </c>
      <c r="H36" s="3">
        <f t="shared" si="0"/>
        <v>50.3</v>
      </c>
      <c r="I36" s="3">
        <f t="shared" si="1"/>
        <v>78</v>
      </c>
      <c r="J36" s="3">
        <f t="shared" si="2"/>
        <v>25</v>
      </c>
      <c r="K36" s="3">
        <f t="shared" si="3"/>
        <v>40</v>
      </c>
      <c r="L36" s="3">
        <f t="shared" si="4"/>
        <v>64</v>
      </c>
      <c r="M36" s="3">
        <f t="shared" si="5"/>
        <v>34</v>
      </c>
      <c r="N36" s="3" t="str">
        <f t="shared" si="6"/>
        <v>Reject</v>
      </c>
      <c r="O36" s="3" t="str">
        <f t="shared" si="7"/>
        <v>Not Suitable</v>
      </c>
      <c r="P36" s="3" t="str">
        <f t="shared" si="8"/>
        <v>Balanced Candidate</v>
      </c>
      <c r="Q36" s="3" t="str">
        <f t="shared" si="9"/>
        <v>Weak Interview</v>
      </c>
      <c r="R36" s="3" t="str">
        <f t="shared" si="10"/>
        <v>Keep in Talent Pool</v>
      </c>
      <c r="S36" s="4" t="str">
        <f t="shared" si="11"/>
        <v>Candidate is Not Suitable with Balanced Candidate. Risk assessment: Weak Interview. Recommendation: Keep in Talent Pool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9A2C-9140-4185-863E-B73A2CE975CC}">
  <dimension ref="A1:D6"/>
  <sheetViews>
    <sheetView workbookViewId="0">
      <selection activeCell="F19" sqref="F19"/>
    </sheetView>
  </sheetViews>
  <sheetFormatPr defaultRowHeight="14.4" x14ac:dyDescent="0.3"/>
  <cols>
    <col min="1" max="1" width="11.77734375" customWidth="1"/>
    <col min="3" max="3" width="15" customWidth="1"/>
  </cols>
  <sheetData>
    <row r="1" spans="1:4" x14ac:dyDescent="0.3">
      <c r="A1" t="s">
        <v>83</v>
      </c>
      <c r="B1" t="s">
        <v>84</v>
      </c>
      <c r="C1" t="s">
        <v>88</v>
      </c>
      <c r="D1" t="s">
        <v>89</v>
      </c>
    </row>
    <row r="2" spans="1:4" x14ac:dyDescent="0.3">
      <c r="A2" t="s">
        <v>3</v>
      </c>
      <c r="B2" s="1">
        <v>0.2</v>
      </c>
      <c r="C2">
        <v>0</v>
      </c>
      <c r="D2">
        <v>0</v>
      </c>
    </row>
    <row r="3" spans="1:4" x14ac:dyDescent="0.3">
      <c r="A3" t="s">
        <v>85</v>
      </c>
      <c r="B3" s="1">
        <v>0.3</v>
      </c>
      <c r="C3">
        <v>1</v>
      </c>
      <c r="D3">
        <v>25</v>
      </c>
    </row>
    <row r="4" spans="1:4" x14ac:dyDescent="0.3">
      <c r="A4" t="s">
        <v>86</v>
      </c>
      <c r="B4" s="1">
        <v>0.2</v>
      </c>
      <c r="C4">
        <v>2</v>
      </c>
      <c r="D4">
        <v>50</v>
      </c>
    </row>
    <row r="5" spans="1:4" x14ac:dyDescent="0.3">
      <c r="A5" t="s">
        <v>87</v>
      </c>
      <c r="B5" s="1">
        <v>0.3</v>
      </c>
      <c r="C5">
        <v>3</v>
      </c>
      <c r="D5">
        <v>75</v>
      </c>
    </row>
    <row r="6" spans="1:4" x14ac:dyDescent="0.3">
      <c r="C6" s="2" t="s">
        <v>90</v>
      </c>
      <c r="D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2026-06-24T08:36:08Z</dcterms:created>
  <dcterms:modified xsi:type="dcterms:W3CDTF">2026-06-24T14:45:46Z</dcterms:modified>
</cp:coreProperties>
</file>